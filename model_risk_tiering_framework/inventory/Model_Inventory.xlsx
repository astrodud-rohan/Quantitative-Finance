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Inventory" sheetId="1" state="visible" r:id="rId1"/>
    <sheet name="Tierin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888888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sz val="9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3C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9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wrapText="1"/>
    </xf>
    <xf numFmtId="0" fontId="8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pivotButton="0" quotePrefix="0" xfId="0"/>
    <xf numFmtId="0" fontId="7" fillId="3" borderId="1" pivotButton="0" quotePrefix="0" xfId="0"/>
    <xf numFmtId="9" fontId="7" fillId="3" borderId="1" pivotButton="0" quotePrefix="0" xfId="0"/>
    <xf numFmtId="0" fontId="4" fillId="4" borderId="1" pivotButton="0" quotePrefix="0" xfId="0"/>
    <xf numFmtId="0" fontId="7" fillId="4" borderId="1" pivotButton="0" quotePrefix="0" xfId="0"/>
    <xf numFmtId="9" fontId="7" fillId="4" borderId="1" pivotButton="0" quotePrefix="0" xfId="0"/>
    <xf numFmtId="0" fontId="4" fillId="5" borderId="1" pivotButton="0" quotePrefix="0" xfId="0"/>
    <xf numFmtId="0" fontId="7" fillId="5" borderId="1" pivotButton="0" quotePrefix="0" xfId="0"/>
    <xf numFmtId="9" fontId="7" fillId="5" borderId="1" pivotButton="0" quotePrefix="0" xfId="0"/>
    <xf numFmtId="0" fontId="9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CE4E4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6" customWidth="1" min="4" max="4"/>
    <col width="18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14" customWidth="1" min="11" max="11"/>
    <col width="12" customWidth="1" min="12" max="12"/>
    <col width="11" customWidth="1" min="13" max="13"/>
    <col width="18" customWidth="1" min="14" max="14"/>
    <col width="55" customWidth="1" min="15" max="15"/>
    <col width="22" customWidth="1" min="18" max="18"/>
    <col width="10" customWidth="1" min="19" max="19"/>
  </cols>
  <sheetData>
    <row r="1">
      <c r="A1" s="1" t="inlineStr">
        <is>
          <t>Model Risk Inventory and Tiering</t>
        </is>
      </c>
      <c r="R1" s="2" t="inlineStr">
        <is>
          <t>Tiering Weights (editable inputs)</t>
        </is>
      </c>
    </row>
    <row r="2">
      <c r="A2" s="3" t="inlineStr">
        <is>
          <t>As of: FY2026 Annual Review  |  Owner: Model Risk Management</t>
        </is>
      </c>
      <c r="R2" s="4" t="inlineStr">
        <is>
          <t>Materiality</t>
        </is>
      </c>
      <c r="S2" s="5" t="n">
        <v>0.4</v>
      </c>
    </row>
    <row r="3">
      <c r="R3" s="4" t="inlineStr">
        <is>
          <t>Complexity</t>
        </is>
      </c>
      <c r="S3" s="5" t="n">
        <v>0.25</v>
      </c>
    </row>
    <row r="4" ht="30" customHeight="1">
      <c r="A4" s="6" t="inlineStr">
        <is>
          <t>Model ID</t>
        </is>
      </c>
      <c r="B4" s="6" t="inlineStr">
        <is>
          <t>Model Name</t>
        </is>
      </c>
      <c r="C4" s="6" t="inlineStr">
        <is>
          <t>Model Type</t>
        </is>
      </c>
      <c r="D4" s="6" t="inlineStr">
        <is>
          <t>Owner Function</t>
        </is>
      </c>
      <c r="E4" s="6" t="inlineStr">
        <is>
          <t>Business Line</t>
        </is>
      </c>
      <c r="F4" s="6" t="inlineStr">
        <is>
          <t>Materiality
(1-5)</t>
        </is>
      </c>
      <c r="G4" s="6" t="inlineStr">
        <is>
          <t>Complexity
(1-5)</t>
        </is>
      </c>
      <c r="H4" s="6" t="inlineStr">
        <is>
          <t>Usage/
Reliance (1-5)</t>
        </is>
      </c>
      <c r="I4" s="6" t="inlineStr">
        <is>
          <t>Data Quality
Risk (1-5)</t>
        </is>
      </c>
      <c r="J4" s="6" t="inlineStr">
        <is>
          <t>Weighted
Score</t>
        </is>
      </c>
      <c r="K4" s="6" t="inlineStr">
        <is>
          <t>Tier</t>
        </is>
      </c>
      <c r="L4" s="6" t="inlineStr">
        <is>
          <t>Validation
Frequency</t>
        </is>
      </c>
      <c r="M4" s="6" t="inlineStr">
        <is>
          <t>Monitoring
Frequency</t>
        </is>
      </c>
      <c r="N4" s="6" t="inlineStr">
        <is>
          <t>Sign-off
Required</t>
        </is>
      </c>
      <c r="O4" s="6" t="inlineStr">
        <is>
          <t>Scoring Rationale</t>
        </is>
      </c>
      <c r="R4" s="4" t="inlineStr">
        <is>
          <t>Usage/Reliance</t>
        </is>
      </c>
      <c r="S4" s="5" t="n">
        <v>0.25</v>
      </c>
    </row>
    <row r="5" ht="60" customHeight="1">
      <c r="A5" s="7" t="inlineStr">
        <is>
          <t>MDL-001</t>
        </is>
      </c>
      <c r="B5" s="7" t="inlineStr">
        <is>
          <t>Retail Credit PD Scorecard</t>
        </is>
      </c>
      <c r="C5" s="7" t="inlineStr">
        <is>
          <t>Logistic regression (WoE scorecard)</t>
        </is>
      </c>
      <c r="D5" s="7" t="inlineStr">
        <is>
          <t>Credit Risk</t>
        </is>
      </c>
      <c r="E5" s="7" t="inlineStr">
        <is>
          <t>Retail Banking</t>
        </is>
      </c>
      <c r="F5" s="8" t="n">
        <v>4</v>
      </c>
      <c r="G5" s="8" t="n">
        <v>2</v>
      </c>
      <c r="H5" s="8" t="n">
        <v>4</v>
      </c>
      <c r="I5" s="8" t="n">
        <v>2</v>
      </c>
      <c r="J5" s="9">
        <f>F5*$S$2+G5*$S$3+H5*$S$4+I5*$S$5</f>
        <v/>
      </c>
      <c r="K5" s="10">
        <f>IF(J5&gt;=$S$8,"Tier 1 (High)",IF(J5&gt;=$S$9,"Tier 2 (Medium)","Tier 3 (Low)"))</f>
        <v/>
      </c>
      <c r="L5" s="11">
        <f>IF(K5="Tier 1 (High)","Annual",IF(K5="Tier 2 (Medium)","Every 18 months","Every 36 months"))</f>
        <v/>
      </c>
      <c r="M5" s="11">
        <f>IF(K5="Tier 1 (High)","Monthly",IF(K5="Tier 2 (Medium)","Quarterly","Semi-annual"))</f>
        <v/>
      </c>
      <c r="N5" s="11">
        <f>IF(K5="Tier 1 (High)","Model Risk Committee",IF(K5="Tier 2 (Medium)","Model Risk Management","Line of Business Risk Owner"))</f>
        <v/>
      </c>
      <c r="O5" s="12" t="inlineStr">
        <is>
          <t>Feeds both credit decisioning and regulatory capital (IRB); moderate complexity (interpretable scorecard);decisions are largely automated below a referral threshold; data is internal bureau/application data, well governed.</t>
        </is>
      </c>
      <c r="R5" s="4" t="inlineStr">
        <is>
          <t>Data Quality Risk</t>
        </is>
      </c>
      <c r="S5" s="5" t="n">
        <v>0.1</v>
      </c>
    </row>
    <row r="6" ht="60" customHeight="1">
      <c r="A6" s="7" t="inlineStr">
        <is>
          <t>MDL-002</t>
        </is>
      </c>
      <c r="B6" s="7" t="inlineStr">
        <is>
          <t>Wholesale LGD Model</t>
        </is>
      </c>
      <c r="C6" s="7" t="inlineStr">
        <is>
          <t>Regression on workout recovery data</t>
        </is>
      </c>
      <c r="D6" s="7" t="inlineStr">
        <is>
          <t>Credit Risk</t>
        </is>
      </c>
      <c r="E6" s="7" t="inlineStr">
        <is>
          <t>Corporate Banking</t>
        </is>
      </c>
      <c r="F6" s="8" t="n">
        <v>4</v>
      </c>
      <c r="G6" s="8" t="n">
        <v>3</v>
      </c>
      <c r="H6" s="8" t="n">
        <v>3</v>
      </c>
      <c r="I6" s="8" t="n">
        <v>3</v>
      </c>
      <c r="J6" s="9">
        <f>F6*$S$2+G6*$S$3+H6*$S$4+I6*$S$5</f>
        <v/>
      </c>
      <c r="K6" s="10">
        <f>IF(J6&gt;=$S$8,"Tier 1 (High)",IF(J6&gt;=$S$9,"Tier 2 (Medium)","Tier 3 (Low)"))</f>
        <v/>
      </c>
      <c r="L6" s="11">
        <f>IF(K6="Tier 1 (High)","Annual",IF(K6="Tier 2 (Medium)","Every 18 months","Every 36 months"))</f>
        <v/>
      </c>
      <c r="M6" s="11">
        <f>IF(K6="Tier 1 (High)","Monthly",IF(K6="Tier 2 (Medium)","Quarterly","Semi-annual"))</f>
        <v/>
      </c>
      <c r="N6" s="11">
        <f>IF(K6="Tier 1 (High)","Model Risk Committee",IF(K6="Tier 2 (Medium)","Model Risk Management","Line of Business Risk Owner"))</f>
        <v/>
      </c>
      <c r="O6" s="12" t="inlineStr">
        <is>
          <t>Directly drives loss provisioning and regulatory capital; moderate-high complexity due to segment-specific recovery curves; used as a strong input but with analyst overlay; recovery data is sparse and judgmental.</t>
        </is>
      </c>
    </row>
    <row r="7" ht="60" customHeight="1">
      <c r="A7" s="7" t="inlineStr">
        <is>
          <t>MDL-003</t>
        </is>
      </c>
      <c r="B7" s="7" t="inlineStr">
        <is>
          <t>Market Risk VaR Model (Equity/FX Trading Book)</t>
        </is>
      </c>
      <c r="C7" s="7" t="inlineStr">
        <is>
          <t>Historical Simulation VaR</t>
        </is>
      </c>
      <c r="D7" s="7" t="inlineStr">
        <is>
          <t>Market Risk</t>
        </is>
      </c>
      <c r="E7" s="7" t="inlineStr">
        <is>
          <t>Markets</t>
        </is>
      </c>
      <c r="F7" s="8" t="n">
        <v>5</v>
      </c>
      <c r="G7" s="8" t="n">
        <v>3</v>
      </c>
      <c r="H7" s="8" t="n">
        <v>5</v>
      </c>
      <c r="I7" s="8" t="n">
        <v>2</v>
      </c>
      <c r="J7" s="9">
        <f>F7*$S$2+G7*$S$3+H7*$S$4+I7*$S$5</f>
        <v/>
      </c>
      <c r="K7" s="10">
        <f>IF(J7&gt;=$S$8,"Tier 1 (High)",IF(J7&gt;=$S$9,"Tier 2 (Medium)","Tier 3 (Low)"))</f>
        <v/>
      </c>
      <c r="L7" s="11">
        <f>IF(K7="Tier 1 (High)","Annual",IF(K7="Tier 2 (Medium)","Every 18 months","Every 36 months"))</f>
        <v/>
      </c>
      <c r="M7" s="11">
        <f>IF(K7="Tier 1 (High)","Monthly",IF(K7="Tier 2 (Medium)","Quarterly","Semi-annual"))</f>
        <v/>
      </c>
      <c r="N7" s="11">
        <f>IF(K7="Tier 1 (High)","Model Risk Committee",IF(K7="Tier 2 (Medium)","Model Risk Management","Line of Business Risk Owner"))</f>
        <v/>
      </c>
      <c r="O7" s="12" t="inlineStr">
        <is>
          <t>Directly determines regulatory trading capital requirements; moderate complexity; fully automated daily capital calculation with no human override; relies on well-governed internal trade and price data.</t>
        </is>
      </c>
      <c r="R7" s="2" t="inlineStr">
        <is>
          <t>Tier Thresholds (editable inputs)</t>
        </is>
      </c>
    </row>
    <row r="8" ht="60" customHeight="1">
      <c r="A8" s="7" t="inlineStr">
        <is>
          <t>MDL-004</t>
        </is>
      </c>
      <c r="B8" s="7" t="inlineStr">
        <is>
          <t>IFRS 9 / CECL Expected Credit Loss Model</t>
        </is>
      </c>
      <c r="C8" s="7" t="inlineStr">
        <is>
          <t>PD x LGD x EAD lifetime ECL engine</t>
        </is>
      </c>
      <c r="D8" s="7" t="inlineStr">
        <is>
          <t>Credit Risk</t>
        </is>
      </c>
      <c r="E8" s="7" t="inlineStr">
        <is>
          <t>Finance</t>
        </is>
      </c>
      <c r="F8" s="8" t="n">
        <v>5</v>
      </c>
      <c r="G8" s="8" t="n">
        <v>4</v>
      </c>
      <c r="H8" s="8" t="n">
        <v>5</v>
      </c>
      <c r="I8" s="8" t="n">
        <v>3</v>
      </c>
      <c r="J8" s="9">
        <f>F8*$S$2+G8*$S$3+H8*$S$4+I8*$S$5</f>
        <v/>
      </c>
      <c r="K8" s="10">
        <f>IF(J8&gt;=$S$8,"Tier 1 (High)",IF(J8&gt;=$S$9,"Tier 2 (Medium)","Tier 3 (Low)"))</f>
        <v/>
      </c>
      <c r="L8" s="11">
        <f>IF(K8="Tier 1 (High)","Annual",IF(K8="Tier 2 (Medium)","Every 18 months","Every 36 months"))</f>
        <v/>
      </c>
      <c r="M8" s="11">
        <f>IF(K8="Tier 1 (High)","Monthly",IF(K8="Tier 2 (Medium)","Quarterly","Semi-annual"))</f>
        <v/>
      </c>
      <c r="N8" s="11">
        <f>IF(K8="Tier 1 (High)","Model Risk Committee",IF(K8="Tier 2 (Medium)","Model Risk Management","Line of Business Risk Owner"))</f>
        <v/>
      </c>
      <c r="O8" s="12" t="inlineStr">
        <is>
          <t>Directly drives the loan loss allowance on the balance sheet and reported earnings; high complexity (multiple sub-models combined with macro scenario overlays); output flows almost automatically into financial statements; depends on forward-looking macro data with inherent uncertainty.</t>
        </is>
      </c>
      <c r="R8" s="4" t="inlineStr">
        <is>
          <t>Tier 1 (High) &gt;=</t>
        </is>
      </c>
      <c r="S8" s="13" t="n">
        <v>3.6</v>
      </c>
    </row>
    <row r="9" ht="60" customHeight="1">
      <c r="A9" s="7" t="inlineStr">
        <is>
          <t>MDL-005</t>
        </is>
      </c>
      <c r="B9" s="7" t="inlineStr">
        <is>
          <t>AML Transaction Monitoring Model</t>
        </is>
      </c>
      <c r="C9" s="7" t="inlineStr">
        <is>
          <t>Rules engine + anomaly detection scoring</t>
        </is>
      </c>
      <c r="D9" s="7" t="inlineStr">
        <is>
          <t>Compliance</t>
        </is>
      </c>
      <c r="E9" s="7" t="inlineStr">
        <is>
          <t>Financial Crime</t>
        </is>
      </c>
      <c r="F9" s="8" t="n">
        <v>5</v>
      </c>
      <c r="G9" s="8" t="n">
        <v>4</v>
      </c>
      <c r="H9" s="8" t="n">
        <v>4</v>
      </c>
      <c r="I9" s="8" t="n">
        <v>4</v>
      </c>
      <c r="J9" s="9">
        <f>F9*$S$2+G9*$S$3+H9*$S$4+I9*$S$5</f>
        <v/>
      </c>
      <c r="K9" s="10">
        <f>IF(J9&gt;=$S$8,"Tier 1 (High)",IF(J9&gt;=$S$9,"Tier 2 (Medium)","Tier 3 (Low)"))</f>
        <v/>
      </c>
      <c r="L9" s="11">
        <f>IF(K9="Tier 1 (High)","Annual",IF(K9="Tier 2 (Medium)","Every 18 months","Every 36 months"))</f>
        <v/>
      </c>
      <c r="M9" s="11">
        <f>IF(K9="Tier 1 (High)","Monthly",IF(K9="Tier 2 (Medium)","Quarterly","Semi-annual"))</f>
        <v/>
      </c>
      <c r="N9" s="11">
        <f>IF(K9="Tier 1 (High)","Model Risk Committee",IF(K9="Tier 2 (Medium)","Model Risk Management","Line of Business Risk Owner"))</f>
        <v/>
      </c>
      <c r="O9" s="12" t="inlineStr">
        <is>
          <t>False negatives carry severe regulatory and reputational consequences (sanctions, fines); hybrid rules/ML complexity; alerts drive investigation decisions with analyst review (not fully automated); depends on noisy, high-volume, frequently-changing transaction data.</t>
        </is>
      </c>
      <c r="R9" s="4" t="inlineStr">
        <is>
          <t>Tier 2 (Medium) &gt;=</t>
        </is>
      </c>
      <c r="S9" s="13" t="n">
        <v>2.4</v>
      </c>
    </row>
    <row r="10" ht="60" customHeight="1">
      <c r="A10" s="7" t="inlineStr">
        <is>
          <t>MDL-006</t>
        </is>
      </c>
      <c r="B10" s="7" t="inlineStr">
        <is>
          <t>Fraud Detection Model (Card Transactions)</t>
        </is>
      </c>
      <c r="C10" s="7" t="inlineStr">
        <is>
          <t>Gradient boosting classifier</t>
        </is>
      </c>
      <c r="D10" s="7" t="inlineStr">
        <is>
          <t>Compliance</t>
        </is>
      </c>
      <c r="E10" s="7" t="inlineStr">
        <is>
          <t>Retail Banking</t>
        </is>
      </c>
      <c r="F10" s="8" t="n">
        <v>4</v>
      </c>
      <c r="G10" s="8" t="n">
        <v>5</v>
      </c>
      <c r="H10" s="8" t="n">
        <v>5</v>
      </c>
      <c r="I10" s="8" t="n">
        <v>4</v>
      </c>
      <c r="J10" s="9">
        <f>F10*$S$2+G10*$S$3+H10*$S$4+I10*$S$5</f>
        <v/>
      </c>
      <c r="K10" s="10">
        <f>IF(J10&gt;=$S$8,"Tier 1 (High)",IF(J10&gt;=$S$9,"Tier 2 (Medium)","Tier 3 (Low)"))</f>
        <v/>
      </c>
      <c r="L10" s="11">
        <f>IF(K10="Tier 1 (High)","Annual",IF(K10="Tier 2 (Medium)","Every 18 months","Every 36 months"))</f>
        <v/>
      </c>
      <c r="M10" s="11">
        <f>IF(K10="Tier 1 (High)","Monthly",IF(K10="Tier 2 (Medium)","Quarterly","Semi-annual"))</f>
        <v/>
      </c>
      <c r="N10" s="11">
        <f>IF(K10="Tier 1 (High)","Model Risk Committee",IF(K10="Tier 2 (Medium)","Model Risk Management","Line of Business Risk Owner"))</f>
        <v/>
      </c>
      <c r="O10" s="12" t="inlineStr">
        <is>
          <t>Direct customer and financial impact from false positives/negatives; high complexity (black-box gradient boosting, hard to explain individual declines); near-real-time automated decisioning with minimal human override; depends on fast-evolving fraud patterns and third-party data feeds.</t>
        </is>
      </c>
    </row>
    <row r="11" ht="60" customHeight="1">
      <c r="A11" s="7" t="inlineStr">
        <is>
          <t>MDL-007</t>
        </is>
      </c>
      <c r="B11" s="7" t="inlineStr">
        <is>
          <t>CCAR / Stress Testing Credit Loss Model</t>
        </is>
      </c>
      <c r="C11" s="7" t="inlineStr">
        <is>
          <t>Satellite regression on macro scenarios</t>
        </is>
      </c>
      <c r="D11" s="7" t="inlineStr">
        <is>
          <t>Credit Risk</t>
        </is>
      </c>
      <c r="E11" s="7" t="inlineStr">
        <is>
          <t>Finance</t>
        </is>
      </c>
      <c r="F11" s="8" t="n">
        <v>5</v>
      </c>
      <c r="G11" s="8" t="n">
        <v>4</v>
      </c>
      <c r="H11" s="8" t="n">
        <v>4</v>
      </c>
      <c r="I11" s="8" t="n">
        <v>3</v>
      </c>
      <c r="J11" s="9">
        <f>F11*$S$2+G11*$S$3+H11*$S$4+I11*$S$5</f>
        <v/>
      </c>
      <c r="K11" s="10">
        <f>IF(J11&gt;=$S$8,"Tier 1 (High)",IF(J11&gt;=$S$9,"Tier 2 (Medium)","Tier 3 (Low)"))</f>
        <v/>
      </c>
      <c r="L11" s="11">
        <f>IF(K11="Tier 1 (High)","Annual",IF(K11="Tier 2 (Medium)","Every 18 months","Every 36 months"))</f>
        <v/>
      </c>
      <c r="M11" s="11">
        <f>IF(K11="Tier 1 (High)","Monthly",IF(K11="Tier 2 (Medium)","Quarterly","Semi-annual"))</f>
        <v/>
      </c>
      <c r="N11" s="11">
        <f>IF(K11="Tier 1 (High)","Model Risk Committee",IF(K11="Tier 2 (Medium)","Model Risk Management","Line of Business Risk Owner"))</f>
        <v/>
      </c>
      <c r="O11" s="12" t="inlineStr">
        <is>
          <t>Directly informs capital planning and is subject to direct regulatory/supervisory scrutiny (CCAR); high complexity due to macro scenario linkage; results heavily inform but do not single-handedly determine capital actions; relies on macro data with structural uncertainty over stress horizons.</t>
        </is>
      </c>
    </row>
    <row r="12" ht="60" customHeight="1">
      <c r="A12" s="7" t="inlineStr">
        <is>
          <t>MDL-008</t>
        </is>
      </c>
      <c r="B12" s="7" t="inlineStr">
        <is>
          <t>Interest Rate Risk in the Banking Book (IRRBB) Model</t>
        </is>
      </c>
      <c r="C12" s="7" t="inlineStr">
        <is>
          <t>Cash flow / duration gap model</t>
        </is>
      </c>
      <c r="D12" s="7" t="inlineStr">
        <is>
          <t>Market Risk</t>
        </is>
      </c>
      <c r="E12" s="7" t="inlineStr">
        <is>
          <t>Treasury</t>
        </is>
      </c>
      <c r="F12" s="8" t="n">
        <v>4</v>
      </c>
      <c r="G12" s="8" t="n">
        <v>3</v>
      </c>
      <c r="H12" s="8" t="n">
        <v>3</v>
      </c>
      <c r="I12" s="8" t="n">
        <v>2</v>
      </c>
      <c r="J12" s="9">
        <f>F12*$S$2+G12*$S$3+H12*$S$4+I12*$S$5</f>
        <v/>
      </c>
      <c r="K12" s="10">
        <f>IF(J12&gt;=$S$8,"Tier 1 (High)",IF(J12&gt;=$S$9,"Tier 2 (Medium)","Tier 3 (Low)"))</f>
        <v/>
      </c>
      <c r="L12" s="11">
        <f>IF(K12="Tier 1 (High)","Annual",IF(K12="Tier 2 (Medium)","Every 18 months","Every 36 months"))</f>
        <v/>
      </c>
      <c r="M12" s="11">
        <f>IF(K12="Tier 1 (High)","Monthly",IF(K12="Tier 2 (Medium)","Quarterly","Semi-annual"))</f>
        <v/>
      </c>
      <c r="N12" s="11">
        <f>IF(K12="Tier 1 (High)","Model Risk Committee",IF(K12="Tier 2 (Medium)","Model Risk Management","Line of Business Risk Owner"))</f>
        <v/>
      </c>
      <c r="O12" s="12" t="inlineStr">
        <is>
          <t>Informs balance sheet hedging and capital adequacy assessment; moderate complexity (behavioral assumptions on non-maturity deposits); used as a key input to ALCO decisions with committee judgment; data is internal balance sheet data, well governed.</t>
        </is>
      </c>
    </row>
    <row r="13" ht="60" customHeight="1">
      <c r="A13" s="7" t="inlineStr">
        <is>
          <t>MDL-009</t>
        </is>
      </c>
      <c r="B13" s="7" t="inlineStr">
        <is>
          <t>Liquidity Stress Testing Model</t>
        </is>
      </c>
      <c r="C13" s="7" t="inlineStr">
        <is>
          <t>Cash flow runoff model under stress scenarios</t>
        </is>
      </c>
      <c r="D13" s="7" t="inlineStr">
        <is>
          <t>Liquidity Risk</t>
        </is>
      </c>
      <c r="E13" s="7" t="inlineStr">
        <is>
          <t>Treasury</t>
        </is>
      </c>
      <c r="F13" s="8" t="n">
        <v>4</v>
      </c>
      <c r="G13" s="8" t="n">
        <v>3</v>
      </c>
      <c r="H13" s="8" t="n">
        <v>3</v>
      </c>
      <c r="I13" s="8" t="n">
        <v>2</v>
      </c>
      <c r="J13" s="9">
        <f>F13*$S$2+G13*$S$3+H13*$S$4+I13*$S$5</f>
        <v/>
      </c>
      <c r="K13" s="10">
        <f>IF(J13&gt;=$S$8,"Tier 1 (High)",IF(J13&gt;=$S$9,"Tier 2 (Medium)","Tier 3 (Low)"))</f>
        <v/>
      </c>
      <c r="L13" s="11">
        <f>IF(K13="Tier 1 (High)","Annual",IF(K13="Tier 2 (Medium)","Every 18 months","Every 36 months"))</f>
        <v/>
      </c>
      <c r="M13" s="11">
        <f>IF(K13="Tier 1 (High)","Monthly",IF(K13="Tier 2 (Medium)","Quarterly","Semi-annual"))</f>
        <v/>
      </c>
      <c r="N13" s="11">
        <f>IF(K13="Tier 1 (High)","Model Risk Committee",IF(K13="Tier 2 (Medium)","Model Risk Management","Line of Business Risk Owner"))</f>
        <v/>
      </c>
      <c r="O13" s="12" t="inlineStr">
        <is>
          <t>Directly informs the bank's liquidity buffer and contingency funding plan; moderate complexity (runoff assumptions by deposit/funding type); informs ALCO decisions with judgment overlay; internal funding data, well governed.</t>
        </is>
      </c>
    </row>
    <row r="14" ht="60" customHeight="1">
      <c r="A14" s="7" t="inlineStr">
        <is>
          <t>MDL-010</t>
        </is>
      </c>
      <c r="B14" s="7" t="inlineStr">
        <is>
          <t>Operational Risk Capital Model (AMA-style)</t>
        </is>
      </c>
      <c r="C14" s="7" t="inlineStr">
        <is>
          <t>Loss distribution / scenario-based simulation</t>
        </is>
      </c>
      <c r="D14" s="7" t="inlineStr">
        <is>
          <t>Operational Risk</t>
        </is>
      </c>
      <c r="E14" s="7" t="inlineStr">
        <is>
          <t>Finance</t>
        </is>
      </c>
      <c r="F14" s="8" t="n">
        <v>3</v>
      </c>
      <c r="G14" s="8" t="n">
        <v>4</v>
      </c>
      <c r="H14" s="8" t="n">
        <v>3</v>
      </c>
      <c r="I14" s="8" t="n">
        <v>4</v>
      </c>
      <c r="J14" s="9">
        <f>F14*$S$2+G14*$S$3+H14*$S$4+I14*$S$5</f>
        <v/>
      </c>
      <c r="K14" s="10">
        <f>IF(J14&gt;=$S$8,"Tier 1 (High)",IF(J14&gt;=$S$9,"Tier 2 (Medium)","Tier 3 (Low)"))</f>
        <v/>
      </c>
      <c r="L14" s="11">
        <f>IF(K14="Tier 1 (High)","Annual",IF(K14="Tier 2 (Medium)","Every 18 months","Every 36 months"))</f>
        <v/>
      </c>
      <c r="M14" s="11">
        <f>IF(K14="Tier 1 (High)","Monthly",IF(K14="Tier 2 (Medium)","Quarterly","Semi-annual"))</f>
        <v/>
      </c>
      <c r="N14" s="11">
        <f>IF(K14="Tier 1 (High)","Model Risk Committee",IF(K14="Tier 2 (Medium)","Model Risk Management","Line of Business Risk Owner"))</f>
        <v/>
      </c>
      <c r="O14" s="12" t="inlineStr">
        <is>
          <t>Contributes to regulatory capital but typically a smaller capital component than credit/market risk; high complexity (statistical loss distribution modeling, scenario blending); informs capital calculation with significant expert judgment overlay; relies on sparse internal loss data plus subjective scenario inputs.</t>
        </is>
      </c>
    </row>
    <row r="15" ht="60" customHeight="1">
      <c r="A15" s="7" t="inlineStr">
        <is>
          <t>MDL-011</t>
        </is>
      </c>
      <c r="B15" s="7" t="inlineStr">
        <is>
          <t>Derivative Pricing Model (Interest Rate Swaps)</t>
        </is>
      </c>
      <c r="C15" s="7" t="inlineStr">
        <is>
          <t>Discounted cash flow / curve-based pricing</t>
        </is>
      </c>
      <c r="D15" s="7" t="inlineStr">
        <is>
          <t>Market Risk</t>
        </is>
      </c>
      <c r="E15" s="7" t="inlineStr">
        <is>
          <t>Markets</t>
        </is>
      </c>
      <c r="F15" s="8" t="n">
        <v>4</v>
      </c>
      <c r="G15" s="8" t="n">
        <v>3</v>
      </c>
      <c r="H15" s="8" t="n">
        <v>5</v>
      </c>
      <c r="I15" s="8" t="n">
        <v>2</v>
      </c>
      <c r="J15" s="9">
        <f>F15*$S$2+G15*$S$3+H15*$S$4+I15*$S$5</f>
        <v/>
      </c>
      <c r="K15" s="10">
        <f>IF(J15&gt;=$S$8,"Tier 1 (High)",IF(J15&gt;=$S$9,"Tier 2 (Medium)","Tier 3 (Low)"))</f>
        <v/>
      </c>
      <c r="L15" s="11">
        <f>IF(K15="Tier 1 (High)","Annual",IF(K15="Tier 2 (Medium)","Every 18 months","Every 36 months"))</f>
        <v/>
      </c>
      <c r="M15" s="11">
        <f>IF(K15="Tier 1 (High)","Monthly",IF(K15="Tier 2 (Medium)","Quarterly","Semi-annual"))</f>
        <v/>
      </c>
      <c r="N15" s="11">
        <f>IF(K15="Tier 1 (High)","Model Risk Committee",IF(K15="Tier 2 (Medium)","Model Risk Management","Line of Business Risk Owner"))</f>
        <v/>
      </c>
      <c r="O15" s="12" t="inlineStr">
        <is>
          <t>Directly determines trade valuation and daily P&amp;L; moderate complexity (standard curve-based pricing, well-established methodology); fully automated valuation with no manual override in normal conditions; relies on well-governed, actively quoted market data.</t>
        </is>
      </c>
    </row>
    <row r="16" ht="60" customHeight="1">
      <c r="A16" s="7" t="inlineStr">
        <is>
          <t>MDL-012</t>
        </is>
      </c>
      <c r="B16" s="7" t="inlineStr">
        <is>
          <t>Customer Churn Prediction Model</t>
        </is>
      </c>
      <c r="C16" s="7" t="inlineStr">
        <is>
          <t>Random forest classifier</t>
        </is>
      </c>
      <c r="D16" s="7" t="inlineStr">
        <is>
          <t>Marketing Analytics</t>
        </is>
      </c>
      <c r="E16" s="7" t="inlineStr">
        <is>
          <t>Retail Banking</t>
        </is>
      </c>
      <c r="F16" s="8" t="n">
        <v>2</v>
      </c>
      <c r="G16" s="8" t="n">
        <v>4</v>
      </c>
      <c r="H16" s="8" t="n">
        <v>2</v>
      </c>
      <c r="I16" s="8" t="n">
        <v>3</v>
      </c>
      <c r="J16" s="9">
        <f>F16*$S$2+G16*$S$3+H16*$S$4+I16*$S$5</f>
        <v/>
      </c>
      <c r="K16" s="10">
        <f>IF(J16&gt;=$S$8,"Tier 1 (High)",IF(J16&gt;=$S$9,"Tier 2 (Medium)","Tier 3 (Low)"))</f>
        <v/>
      </c>
      <c r="L16" s="11">
        <f>IF(K16="Tier 1 (High)","Annual",IF(K16="Tier 2 (Medium)","Every 18 months","Every 36 months"))</f>
        <v/>
      </c>
      <c r="M16" s="11">
        <f>IF(K16="Tier 1 (High)","Monthly",IF(K16="Tier 2 (Medium)","Quarterly","Semi-annual"))</f>
        <v/>
      </c>
      <c r="N16" s="11">
        <f>IF(K16="Tier 1 (High)","Model Risk Committee",IF(K16="Tier 2 (Medium)","Model Risk Management","Line of Business Risk Owner"))</f>
        <v/>
      </c>
      <c r="O16" s="12" t="inlineStr">
        <is>
          <t>Limited direct financial impact (informs retention marketing spend only); moderately high complexity (ensemble model, not easily interpretable;) used as one input among several in campaign targeting, with marketing judgment applied; relies on internal CRM data of moderate quality.</t>
        </is>
      </c>
    </row>
    <row r="17" ht="60" customHeight="1">
      <c r="A17" s="7" t="inlineStr">
        <is>
          <t>MDL-013</t>
        </is>
      </c>
      <c r="B17" s="7" t="inlineStr">
        <is>
          <t>Economic Capital Allocation Model</t>
        </is>
      </c>
      <c r="C17" s="7" t="inlineStr">
        <is>
          <t>Multi-risk-type aggregation model</t>
        </is>
      </c>
      <c r="D17" s="7" t="inlineStr">
        <is>
          <t>Enterprise Risk</t>
        </is>
      </c>
      <c r="E17" s="7" t="inlineStr">
        <is>
          <t>Finance</t>
        </is>
      </c>
      <c r="F17" s="8" t="n">
        <v>4</v>
      </c>
      <c r="G17" s="8" t="n">
        <v>4</v>
      </c>
      <c r="H17" s="8" t="n">
        <v>3</v>
      </c>
      <c r="I17" s="8" t="n">
        <v>3</v>
      </c>
      <c r="J17" s="9">
        <f>F17*$S$2+G17*$S$3+H17*$S$4+I17*$S$5</f>
        <v/>
      </c>
      <c r="K17" s="10">
        <f>IF(J17&gt;=$S$8,"Tier 1 (High)",IF(J17&gt;=$S$9,"Tier 2 (Medium)","Tier 3 (Low)"))</f>
        <v/>
      </c>
      <c r="L17" s="11">
        <f>IF(K17="Tier 1 (High)","Annual",IF(K17="Tier 2 (Medium)","Every 18 months","Every 36 months"))</f>
        <v/>
      </c>
      <c r="M17" s="11">
        <f>IF(K17="Tier 1 (High)","Monthly",IF(K17="Tier 2 (Medium)","Quarterly","Semi-annual"))</f>
        <v/>
      </c>
      <c r="N17" s="11">
        <f>IF(K17="Tier 1 (High)","Model Risk Committee",IF(K17="Tier 2 (Medium)","Model Risk Management","Line of Business Risk Owner"))</f>
        <v/>
      </c>
      <c r="O17" s="12" t="inlineStr">
        <is>
          <t>Informs internal capital allocation and risk appetite, but is an internal management tool rather than a primary regulatory capital driver; high complexity (aggregates credit/market/operational risk with correlation assumptions); used as a key input to capital planning discussions with senior management judgment; depends on outputs of multiple upstream models, compounding data risk.</t>
        </is>
      </c>
    </row>
    <row r="18" ht="60" customHeight="1">
      <c r="A18" s="7" t="inlineStr">
        <is>
          <t>MDL-014</t>
        </is>
      </c>
      <c r="B18" s="7" t="inlineStr">
        <is>
          <t>Algorithmic Trading Execution Model</t>
        </is>
      </c>
      <c r="C18" s="7" t="inlineStr">
        <is>
          <t>Rules-based execution algorithm</t>
        </is>
      </c>
      <c r="D18" s="7" t="inlineStr">
        <is>
          <t>Market Risk</t>
        </is>
      </c>
      <c r="E18" s="7" t="inlineStr">
        <is>
          <t>Markets</t>
        </is>
      </c>
      <c r="F18" s="8" t="n">
        <v>3</v>
      </c>
      <c r="G18" s="8" t="n">
        <v>3</v>
      </c>
      <c r="H18" s="8" t="n">
        <v>5</v>
      </c>
      <c r="I18" s="8" t="n">
        <v>2</v>
      </c>
      <c r="J18" s="9">
        <f>F18*$S$2+G18*$S$3+H18*$S$4+I18*$S$5</f>
        <v/>
      </c>
      <c r="K18" s="10">
        <f>IF(J18&gt;=$S$8,"Tier 1 (High)",IF(J18&gt;=$S$9,"Tier 2 (Medium)","Tier 3 (Low)"))</f>
        <v/>
      </c>
      <c r="L18" s="11">
        <f>IF(K18="Tier 1 (High)","Annual",IF(K18="Tier 2 (Medium)","Every 18 months","Every 36 months"))</f>
        <v/>
      </c>
      <c r="M18" s="11">
        <f>IF(K18="Tier 1 (High)","Monthly",IF(K18="Tier 2 (Medium)","Quarterly","Semi-annual"))</f>
        <v/>
      </c>
      <c r="N18" s="11">
        <f>IF(K18="Tier 1 (High)","Model Risk Committee",IF(K18="Tier 2 (Medium)","Model Risk Management","Line of Business Risk Owner"))</f>
        <v/>
      </c>
      <c r="O18" s="12" t="inlineStr">
        <is>
          <t>Financial impact is real but bounded by position limits and kill-switches; moderate complexity (deterministic execution rules, not statistical/ML); fully automated execution with no per-trade human override; relies on well-governed real-time market data feeds.</t>
        </is>
      </c>
    </row>
    <row r="19" ht="60" customHeight="1">
      <c r="A19" s="7" t="inlineStr">
        <is>
          <t>MDL-015</t>
        </is>
      </c>
      <c r="B19" s="7" t="inlineStr">
        <is>
          <t>Robo-Advisor Portfolio Allocation Model</t>
        </is>
      </c>
      <c r="C19" s="7" t="inlineStr">
        <is>
          <t>Mean-variance optimization with risk-profiling questionnaire</t>
        </is>
      </c>
      <c r="D19" s="7" t="inlineStr">
        <is>
          <t>Wealth Management</t>
        </is>
      </c>
      <c r="E19" s="7" t="inlineStr">
        <is>
          <t>Wealth Management</t>
        </is>
      </c>
      <c r="F19" s="8" t="n">
        <v>3</v>
      </c>
      <c r="G19" s="8" t="n">
        <v>2</v>
      </c>
      <c r="H19" s="8" t="n">
        <v>4</v>
      </c>
      <c r="I19" s="8" t="n">
        <v>2</v>
      </c>
      <c r="J19" s="9">
        <f>F19*$S$2+G19*$S$3+H19*$S$4+I19*$S$5</f>
        <v/>
      </c>
      <c r="K19" s="10">
        <f>IF(J19&gt;=$S$8,"Tier 1 (High)",IF(J19&gt;=$S$9,"Tier 2 (Medium)","Tier 3 (Low)"))</f>
        <v/>
      </c>
      <c r="L19" s="11">
        <f>IF(K19="Tier 1 (High)","Annual",IF(K19="Tier 2 (Medium)","Every 18 months","Every 36 months"))</f>
        <v/>
      </c>
      <c r="M19" s="11">
        <f>IF(K19="Tier 1 (High)","Monthly",IF(K19="Tier 2 (Medium)","Quarterly","Semi-annual"))</f>
        <v/>
      </c>
      <c r="N19" s="11">
        <f>IF(K19="Tier 1 (High)","Model Risk Committee",IF(K19="Tier 2 (Medium)","Model Risk Management","Line of Business Risk Owner"))</f>
        <v/>
      </c>
      <c r="O19" s="12" t="inlineStr">
        <is>
          <t>Direct impact on individual client portfolios, but limited to retail wealth clients rather than balance-sheet-wide exposure; low-moderate complexity (standard mean-variance optimization, well-documented methodology); largely automated rebalancing with limited advisor override; relies on internal client questionnaire and market data, both reasonably well governed.</t>
        </is>
      </c>
    </row>
    <row r="20" ht="60" customHeight="1">
      <c r="A20" s="7" t="inlineStr">
        <is>
          <t>MDL-016</t>
        </is>
      </c>
      <c r="B20" s="7" t="inlineStr">
        <is>
          <t>Branch Cash Demand Forecasting Model</t>
        </is>
      </c>
      <c r="C20" s="7" t="inlineStr">
        <is>
          <t>Time series (ARIMA) forecast of ATM/branch cash needs</t>
        </is>
      </c>
      <c r="D20" s="7" t="inlineStr">
        <is>
          <t>Operations</t>
        </is>
      </c>
      <c r="E20" s="7" t="inlineStr">
        <is>
          <t>Retail Banking</t>
        </is>
      </c>
      <c r="F20" s="8" t="n">
        <v>1</v>
      </c>
      <c r="G20" s="8" t="n">
        <v>2</v>
      </c>
      <c r="H20" s="8" t="n">
        <v>2</v>
      </c>
      <c r="I20" s="8" t="n">
        <v>2</v>
      </c>
      <c r="J20" s="9">
        <f>F20*$S$2+G20*$S$3+H20*$S$4+I20*$S$5</f>
        <v/>
      </c>
      <c r="K20" s="10">
        <f>IF(J20&gt;=$S$8,"Tier 1 (High)",IF(J20&gt;=$S$9,"Tier 2 (Medium)","Tier 3 (Low)"))</f>
        <v/>
      </c>
      <c r="L20" s="11">
        <f>IF(K20="Tier 1 (High)","Annual",IF(K20="Tier 2 (Medium)","Every 18 months","Every 36 months"))</f>
        <v/>
      </c>
      <c r="M20" s="11">
        <f>IF(K20="Tier 1 (High)","Monthly",IF(K20="Tier 2 (Medium)","Quarterly","Semi-annual"))</f>
        <v/>
      </c>
      <c r="N20" s="11">
        <f>IF(K20="Tier 1 (High)","Model Risk Committee",IF(K20="Tier 2 (Medium)","Model Risk Management","Line of Business Risk Owner"))</f>
        <v/>
      </c>
      <c r="O20" s="12" t="inlineStr">
        <is>
          <t>Purely an operational efficiency tool (cash logistics); no credit, market, or capital impact; low complexity (standard time series forecasting); used as a planning input with branch manager discretion to override; relies on stable internal transaction history.</t>
        </is>
      </c>
    </row>
    <row r="21" ht="60" customHeight="1">
      <c r="A21" s="7" t="inlineStr">
        <is>
          <t>MDL-017</t>
        </is>
      </c>
      <c r="B21" s="7" t="inlineStr">
        <is>
          <t>Employee Attrition Prediction Model</t>
        </is>
      </c>
      <c r="C21" s="7" t="inlineStr">
        <is>
          <t>Logistic regression on HR data</t>
        </is>
      </c>
      <c r="D21" s="7" t="inlineStr">
        <is>
          <t>Human Resources</t>
        </is>
      </c>
      <c r="E21" s="7" t="inlineStr">
        <is>
          <t>Corporate Functions</t>
        </is>
      </c>
      <c r="F21" s="8" t="n">
        <v>1</v>
      </c>
      <c r="G21" s="8" t="n">
        <v>2</v>
      </c>
      <c r="H21" s="8" t="n">
        <v>1</v>
      </c>
      <c r="I21" s="8" t="n">
        <v>2</v>
      </c>
      <c r="J21" s="9">
        <f>F21*$S$2+G21*$S$3+H21*$S$4+I21*$S$5</f>
        <v/>
      </c>
      <c r="K21" s="10">
        <f>IF(J21&gt;=$S$8,"Tier 1 (High)",IF(J21&gt;=$S$9,"Tier 2 (Medium)","Tier 3 (Low)"))</f>
        <v/>
      </c>
      <c r="L21" s="11">
        <f>IF(K21="Tier 1 (High)","Annual",IF(K21="Tier 2 (Medium)","Every 18 months","Every 36 months"))</f>
        <v/>
      </c>
      <c r="M21" s="11">
        <f>IF(K21="Tier 1 (High)","Monthly",IF(K21="Tier 2 (Medium)","Quarterly","Semi-annual"))</f>
        <v/>
      </c>
      <c r="N21" s="11">
        <f>IF(K21="Tier 1 (High)","Model Risk Committee",IF(K21="Tier 2 (Medium)","Model Risk Management","Line of Business Risk Owner"))</f>
        <v/>
      </c>
      <c r="O21" s="12" t="inlineStr">
        <is>
          <t>No financial, credit, or customer impact; informs HR retention conversations only; low complexity; purely advisory with HR business partner judgment applied to every case; relies on internal HR data of reasonable quality.</t>
        </is>
      </c>
    </row>
    <row r="22" ht="60" customHeight="1">
      <c r="A22" s="7" t="inlineStr">
        <is>
          <t>MDL-018</t>
        </is>
      </c>
      <c r="B22" s="7" t="inlineStr">
        <is>
          <t>Internal Expense Allocation Model</t>
        </is>
      </c>
      <c r="C22" s="7" t="inlineStr">
        <is>
          <t>Rules-based cost allocation across business units</t>
        </is>
      </c>
      <c r="D22" s="7" t="inlineStr">
        <is>
          <t>Finance</t>
        </is>
      </c>
      <c r="E22" s="7" t="inlineStr">
        <is>
          <t>Corporate Functions</t>
        </is>
      </c>
      <c r="F22" s="8" t="n">
        <v>2</v>
      </c>
      <c r="G22" s="8" t="n">
        <v>1</v>
      </c>
      <c r="H22" s="8" t="n">
        <v>2</v>
      </c>
      <c r="I22" s="8" t="n">
        <v>1</v>
      </c>
      <c r="J22" s="9">
        <f>F22*$S$2+G22*$S$3+H22*$S$4+I22*$S$5</f>
        <v/>
      </c>
      <c r="K22" s="10">
        <f>IF(J22&gt;=$S$8,"Tier 1 (High)",IF(J22&gt;=$S$9,"Tier 2 (Medium)","Tier 3 (Low)"))</f>
        <v/>
      </c>
      <c r="L22" s="11">
        <f>IF(K22="Tier 1 (High)","Annual",IF(K22="Tier 2 (Medium)","Every 18 months","Every 36 months"))</f>
        <v/>
      </c>
      <c r="M22" s="11">
        <f>IF(K22="Tier 1 (High)","Monthly",IF(K22="Tier 2 (Medium)","Quarterly","Semi-annual"))</f>
        <v/>
      </c>
      <c r="N22" s="11">
        <f>IF(K22="Tier 1 (High)","Model Risk Committee",IF(K22="Tier 2 (Medium)","Model Risk Management","Line of Business Risk Owner"))</f>
        <v/>
      </c>
      <c r="O22" s="12" t="inlineStr">
        <is>
          <t>Affects internal management reporting and business unit profitability views, but not external financial statements or regulatory capital; very low complexity (deterministic allocation rules, not statistical); used for internal reporting with Finance review; relies on well-governed internal general ledger data.</t>
        </is>
      </c>
    </row>
  </sheetData>
  <conditionalFormatting sqref="K5:K22">
    <cfRule type="cellIs" priority="1" operator="equal" dxfId="0">
      <formula>"Tier 1 (High)"</formula>
    </cfRule>
    <cfRule type="cellIs" priority="2" operator="equal" dxfId="1">
      <formula>"Tier 2 (Medium)"</formula>
    </cfRule>
    <cfRule type="cellIs" priority="3" operator="equal" dxfId="2">
      <formula>"Tier 3 (Low)"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20" customWidth="1" min="4" max="4"/>
    <col width="20" customWidth="1" min="5" max="5"/>
  </cols>
  <sheetData>
    <row r="1">
      <c r="A1" s="1" t="inlineStr">
        <is>
          <t>Model Inventory — Tiering Summary</t>
        </is>
      </c>
    </row>
    <row r="2">
      <c r="A2" s="3" t="inlineStr">
        <is>
          <t>Aggregated view for Model Risk Committee reporting</t>
        </is>
      </c>
    </row>
    <row r="4">
      <c r="A4" s="6" t="inlineStr">
        <is>
          <t>Tier</t>
        </is>
      </c>
      <c r="B4" s="6" t="inlineStr">
        <is>
          <t>Model Count</t>
        </is>
      </c>
      <c r="C4" s="6" t="inlineStr">
        <is>
          <t>% of Inventory</t>
        </is>
      </c>
      <c r="D4" s="6" t="inlineStr">
        <is>
          <t>Validation Frequency</t>
        </is>
      </c>
      <c r="E4" s="6" t="inlineStr">
        <is>
          <t>Monitoring Frequency</t>
        </is>
      </c>
    </row>
    <row r="5">
      <c r="A5" s="14" t="inlineStr">
        <is>
          <t>Tier 1 (High)</t>
        </is>
      </c>
      <c r="B5" s="15">
        <f>COUNTIF('Model Inventory'!K5:K22,"Tier 1 (High)")</f>
        <v/>
      </c>
      <c r="C5" s="16">
        <f>B5/SUM($B$5:$B$7)</f>
        <v/>
      </c>
      <c r="D5" s="14" t="inlineStr">
        <is>
          <t>Annual</t>
        </is>
      </c>
      <c r="E5" s="14" t="inlineStr">
        <is>
          <t>Monthly</t>
        </is>
      </c>
    </row>
    <row r="6">
      <c r="A6" s="17" t="inlineStr">
        <is>
          <t>Tier 2 (Medium)</t>
        </is>
      </c>
      <c r="B6" s="18">
        <f>COUNTIF('Model Inventory'!K5:K22,"Tier 2 (Medium)")</f>
        <v/>
      </c>
      <c r="C6" s="19">
        <f>B6/SUM($B$5:$B$7)</f>
        <v/>
      </c>
      <c r="D6" s="17" t="inlineStr">
        <is>
          <t>Every 18 months</t>
        </is>
      </c>
      <c r="E6" s="17" t="inlineStr">
        <is>
          <t>Quarterly</t>
        </is>
      </c>
    </row>
    <row r="7">
      <c r="A7" s="20" t="inlineStr">
        <is>
          <t>Tier 3 (Low)</t>
        </is>
      </c>
      <c r="B7" s="21">
        <f>COUNTIF('Model Inventory'!K5:K22,"Tier 3 (Low)")</f>
        <v/>
      </c>
      <c r="C7" s="22">
        <f>B7/SUM($B$5:$B$7)</f>
        <v/>
      </c>
      <c r="D7" s="20" t="inlineStr">
        <is>
          <t>Every 36 months</t>
        </is>
      </c>
      <c r="E7" s="20" t="inlineStr">
        <is>
          <t>Semi-annual</t>
        </is>
      </c>
    </row>
    <row r="9">
      <c r="A9" s="2" t="inlineStr">
        <is>
          <t>Total models in inventory:</t>
        </is>
      </c>
      <c r="B9" s="2">
        <f>SUM(B5:B7)</f>
        <v/>
      </c>
    </row>
    <row r="11">
      <c r="A11" s="23" t="inlineStr">
        <is>
          <t>Validation Workload (next 12 months)</t>
        </is>
      </c>
    </row>
    <row r="12">
      <c r="A12" s="4" t="inlineStr">
        <is>
          <t>Tier 1 models requiring validation THIS YEAR (annual cycle):</t>
        </is>
      </c>
      <c r="B12" s="24">
        <f>B5</f>
        <v/>
      </c>
    </row>
    <row r="13">
      <c r="A13" s="4" t="inlineStr">
        <is>
          <t>Tier 2 models requiring validation THIS YEAR (assume ~67% due, 18-month cycle):</t>
        </is>
      </c>
      <c r="B13" s="24">
        <f>ROUND(B6*0.67,0)</f>
        <v/>
      </c>
    </row>
    <row r="14">
      <c r="A14" s="4" t="inlineStr">
        <is>
          <t>Tier 3 models requiring validation THIS YEAR (assume ~33% due, 36-month cycle):</t>
        </is>
      </c>
      <c r="B14" s="24">
        <f>ROUND(B7*0.33,0)</f>
        <v/>
      </c>
    </row>
    <row r="15">
      <c r="A15" s="2" t="inlineStr">
        <is>
          <t>Estimated total validations due this year:</t>
        </is>
      </c>
      <c r="B15" s="2">
        <f>B12+B13+B14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2026-07-02T12:42:16Z</dcterms:created>
  <dcterms:modified xsi:type="dcterms:W3CDTF">2026-07-02T12:42:16Z</dcterms:modified>
</cp:coreProperties>
</file>